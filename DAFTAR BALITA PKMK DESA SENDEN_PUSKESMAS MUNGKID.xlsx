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E3B5874F-BA64-464B-AD4E-6D784732B7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FTAR BBTB" sheetId="1" r:id="rId1"/>
    <sheet name="REKAP" sheetId="2" r:id="rId2"/>
  </sheets>
  <calcPr calcId="191029"/>
  <extLst>
    <ext uri="GoogleSheetsCustomDataVersion2">
      <go:sheetsCustomData xmlns:go="http://customooxmlschemas.google.com/" r:id="rId9" roundtripDataChecksum="xCT52SLIlHoSBsba7E/RQRuW/5VWBP6wuUKNW0AvDZs="/>
    </ext>
  </extLst>
</workbook>
</file>

<file path=xl/calcChain.xml><?xml version="1.0" encoding="utf-8"?>
<calcChain xmlns="http://schemas.openxmlformats.org/spreadsheetml/2006/main">
  <c r="AB19" i="1" l="1"/>
  <c r="AB20" i="1"/>
  <c r="AB21" i="1"/>
  <c r="AB22" i="1"/>
  <c r="AB23" i="1"/>
  <c r="AB24" i="1"/>
  <c r="AB9" i="1"/>
  <c r="AB10" i="1"/>
  <c r="AB25" i="1"/>
  <c r="AB11" i="1"/>
  <c r="AB12" i="1"/>
  <c r="AB13" i="1"/>
  <c r="AB26" i="1"/>
  <c r="AB14" i="1"/>
  <c r="AB15" i="1"/>
  <c r="AB27" i="1"/>
  <c r="AB28" i="1"/>
  <c r="AB16" i="1"/>
  <c r="AB18" i="1"/>
</calcChain>
</file>

<file path=xl/sharedStrings.xml><?xml version="1.0" encoding="utf-8"?>
<sst xmlns="http://schemas.openxmlformats.org/spreadsheetml/2006/main" count="460" uniqueCount="361">
  <si>
    <t>No</t>
  </si>
  <si>
    <t>NIK</t>
  </si>
  <si>
    <t>Nama</t>
  </si>
  <si>
    <t>JK</t>
  </si>
  <si>
    <t>Tgl Lahir</t>
  </si>
  <si>
    <t>HASIL PENIMBANGAN</t>
  </si>
  <si>
    <t>BB</t>
  </si>
  <si>
    <t>TB</t>
  </si>
  <si>
    <t>3308804703225298 </t>
  </si>
  <si>
    <t>SHAZFA FIDEL ARSYILIA</t>
  </si>
  <si>
    <t>P</t>
  </si>
  <si>
    <t>80,9</t>
  </si>
  <si>
    <t>82,1</t>
  </si>
  <si>
    <t>3371011011220002 </t>
  </si>
  <si>
    <t>ELVANO KENZI ALFARIZKY</t>
  </si>
  <si>
    <t>L</t>
  </si>
  <si>
    <t>82,6</t>
  </si>
  <si>
    <t>3308093004220006 </t>
  </si>
  <si>
    <t>AHMAD FAIZZAL M</t>
  </si>
  <si>
    <t>85,8</t>
  </si>
  <si>
    <t>85.8</t>
  </si>
  <si>
    <t>3308801803232745 </t>
  </si>
  <si>
    <t>M FAREL ALDAVA</t>
  </si>
  <si>
    <t>SUSAH MINUM SUSU</t>
  </si>
  <si>
    <t>80</t>
  </si>
  <si>
    <t>3308091008220001 </t>
  </si>
  <si>
    <t>ALFARIZQI TSAQIF HAFIZHAN</t>
  </si>
  <si>
    <t>82,8</t>
  </si>
  <si>
    <t>11</t>
  </si>
  <si>
    <t>3308096510220002 </t>
  </si>
  <si>
    <t>AQILA PUTRI AMINA</t>
  </si>
  <si>
    <t>81,5</t>
  </si>
  <si>
    <t>10,4</t>
  </si>
  <si>
    <t>3308090107230039 </t>
  </si>
  <si>
    <t>IKHYA ULUMUDIN</t>
  </si>
  <si>
    <t>77,1</t>
  </si>
  <si>
    <t>76,6</t>
  </si>
  <si>
    <t>3308092711230002 </t>
  </si>
  <si>
    <t>DANENDRA ARYA D</t>
  </si>
  <si>
    <t>73</t>
  </si>
  <si>
    <t>75.5</t>
  </si>
  <si>
    <t>3308095606230001 </t>
  </si>
  <si>
    <t>ARSYILA BENING KHAIRINA</t>
  </si>
  <si>
    <t>71,2</t>
  </si>
  <si>
    <t>72,3</t>
  </si>
  <si>
    <t>73,6</t>
  </si>
  <si>
    <t>3308090401230002 </t>
  </si>
  <si>
    <t>ARSHAKA AHMAD S</t>
  </si>
  <si>
    <t>75,3</t>
  </si>
  <si>
    <t>77,9</t>
  </si>
  <si>
    <t>3308095306230001 </t>
  </si>
  <si>
    <t>VINDA NUR AISYAH</t>
  </si>
  <si>
    <t>75,6</t>
  </si>
  <si>
    <t>78</t>
  </si>
  <si>
    <t>3308092812220002 </t>
  </si>
  <si>
    <t>RAFI ATTALAH YASAR</t>
  </si>
  <si>
    <t>79</t>
  </si>
  <si>
    <t>3308092112210002 </t>
  </si>
  <si>
    <t>GIBRAN SETIAWAN</t>
  </si>
  <si>
    <t>3308093107220001 </t>
  </si>
  <si>
    <t>AL KARIM JULIAN ARIF SAPUTRA</t>
  </si>
  <si>
    <t>83,6</t>
  </si>
  <si>
    <t>85</t>
  </si>
  <si>
    <t>3308093511230001 </t>
  </si>
  <si>
    <t>LINTANG AYU NOVIKA</t>
  </si>
  <si>
    <t>68,3</t>
  </si>
  <si>
    <t>3308091603210001 </t>
  </si>
  <si>
    <t>BAMBANG WAHYU NUGROHO</t>
  </si>
  <si>
    <t>91</t>
  </si>
  <si>
    <t>92,9</t>
  </si>
  <si>
    <t>3308090409210002 </t>
  </si>
  <si>
    <t>BRYAN DWI SAPUTRA</t>
  </si>
  <si>
    <t>85,5</t>
  </si>
  <si>
    <t>3308096206200001 </t>
  </si>
  <si>
    <t>ATTAT LANA ALFA S</t>
  </si>
  <si>
    <t>12.9</t>
  </si>
  <si>
    <t>88.2</t>
  </si>
  <si>
    <t>90,8</t>
  </si>
  <si>
    <t>91,2</t>
  </si>
  <si>
    <t>3308091402240001</t>
  </si>
  <si>
    <t>NIZZAR FIKRI ABDULLAH</t>
  </si>
  <si>
    <t>68.7</t>
  </si>
  <si>
    <t>8,2</t>
  </si>
  <si>
    <t>KENDALA</t>
  </si>
  <si>
    <t>TIDAK ADA</t>
  </si>
  <si>
    <t>SUSU DIMINIM 1 KELUARGA</t>
  </si>
  <si>
    <t>SEBELUM INTERVENSI</t>
  </si>
  <si>
    <t>BB/U</t>
  </si>
  <si>
    <t>TB/U</t>
  </si>
  <si>
    <t>BB/TB</t>
  </si>
  <si>
    <t>-4.23 (sgt kurang)</t>
  </si>
  <si>
    <t>-3.9 (sgt pendek)</t>
  </si>
  <si>
    <t>-2.74 (gizi kurang)</t>
  </si>
  <si>
    <t>-4.13 (sgt kurang)</t>
  </si>
  <si>
    <t>-3.66 (sgt pendek)</t>
  </si>
  <si>
    <t>-2.79 (gizi kurang)</t>
  </si>
  <si>
    <t>-3.94 (sgt kurang)</t>
  </si>
  <si>
    <t>-3.6 (sgt pendek)</t>
  </si>
  <si>
    <t>-2.51 (gizi kurang)</t>
  </si>
  <si>
    <t>-2.6 ( kurang)</t>
  </si>
  <si>
    <t>-2.29 (pendek)</t>
  </si>
  <si>
    <t>-1.96(gizi baik)</t>
  </si>
  <si>
    <t>-2.81 ( kurang)</t>
  </si>
  <si>
    <t>-2.81 (pendek)</t>
  </si>
  <si>
    <t>-2.1(gizi kurang)</t>
  </si>
  <si>
    <t>83.1</t>
  </si>
  <si>
    <t>-2.26 (pendek)</t>
  </si>
  <si>
    <t>-2.08 (gizi kurang)</t>
  </si>
  <si>
    <t>-2.68(kurang)</t>
  </si>
  <si>
    <t>10.2</t>
  </si>
  <si>
    <t>84</t>
  </si>
  <si>
    <t>-2.23 (kurang)</t>
  </si>
  <si>
    <t>-1.42 (gizi baik)</t>
  </si>
  <si>
    <t>-1.48 ( normal)</t>
  </si>
  <si>
    <t>0.41(gizi baik)</t>
  </si>
  <si>
    <t>-3.12 (sgt pendek)</t>
  </si>
  <si>
    <t>-1.73 (normal)</t>
  </si>
  <si>
    <t>-2.44 (pendek)</t>
  </si>
  <si>
    <t>-0.53(gizi baik)</t>
  </si>
  <si>
    <t>-1.61 (normal)</t>
  </si>
  <si>
    <t>-2.58 (pendek)</t>
  </si>
  <si>
    <t>-0.23 (gizi baik)</t>
  </si>
  <si>
    <t>88.1</t>
  </si>
  <si>
    <t>12.2</t>
  </si>
  <si>
    <t>-1.34(normal)</t>
  </si>
  <si>
    <t>-2.16(pendek)</t>
  </si>
  <si>
    <t>-0.24 (gizi baik)</t>
  </si>
  <si>
    <t>-2.74 (kurang)</t>
  </si>
  <si>
    <t>-2.85(pendek)</t>
  </si>
  <si>
    <t>9.1</t>
  </si>
  <si>
    <t>-2.28 (kurang)</t>
  </si>
  <si>
    <t>-2.78(pendek)</t>
  </si>
  <si>
    <t>-1.26(gizi baik)</t>
  </si>
  <si>
    <t>-1.91(gizi baik)</t>
  </si>
  <si>
    <t>78.5</t>
  </si>
  <si>
    <t>-2.57 (kurang)</t>
  </si>
  <si>
    <t>-2.72(pendek)</t>
  </si>
  <si>
    <t>-1.66 (gizi baik)</t>
  </si>
  <si>
    <t>9.5</t>
  </si>
  <si>
    <t>-2.34 (kurang)</t>
  </si>
  <si>
    <t>-2.64(pendek)</t>
  </si>
  <si>
    <t>-1.32 (gizi baik)</t>
  </si>
  <si>
    <t>-2.22 (kurang)</t>
  </si>
  <si>
    <t>-2.59(pendek)</t>
  </si>
  <si>
    <t>-2.89(pendek)</t>
  </si>
  <si>
    <t>-1.12(gizi baik)</t>
  </si>
  <si>
    <t>-1.76 (NORMAL)</t>
  </si>
  <si>
    <t>-2.74(pendek)</t>
  </si>
  <si>
    <t>10.4</t>
  </si>
  <si>
    <t>83.5</t>
  </si>
  <si>
    <t>-2.18 (kurangL)</t>
  </si>
  <si>
    <t>-2.61(pendek)</t>
  </si>
  <si>
    <t>-1.04(gizi baik)</t>
  </si>
  <si>
    <t>11.1</t>
  </si>
  <si>
    <t>86</t>
  </si>
  <si>
    <t>-1.81 (normal)</t>
  </si>
  <si>
    <t>-0.89 (gizi baik)</t>
  </si>
  <si>
    <t>-1.75 (kurang)</t>
  </si>
  <si>
    <t>-0.22(gizi baik)</t>
  </si>
  <si>
    <t>-1.7 (NORMAL)</t>
  </si>
  <si>
    <t>-0.34(gizi baik)</t>
  </si>
  <si>
    <t>-0.33(gizi baik)</t>
  </si>
  <si>
    <t>-1.76(NORMAL)</t>
  </si>
  <si>
    <t>-1.67 (normal)</t>
  </si>
  <si>
    <t>-2.2 (pendek)</t>
  </si>
  <si>
    <t>-2.16 (pendek)</t>
  </si>
  <si>
    <t>-0.86(gizi baik)</t>
  </si>
  <si>
    <t>-2.42 (kurang)</t>
  </si>
  <si>
    <t>-2.9(pendek)</t>
  </si>
  <si>
    <t>-1.45(gizi baik)</t>
  </si>
  <si>
    <t>8.6</t>
  </si>
  <si>
    <t>74.5</t>
  </si>
  <si>
    <t>-2.27(kurang)</t>
  </si>
  <si>
    <t>-3.09(sgt pendek)</t>
  </si>
  <si>
    <t>-1.09(gizi baik)</t>
  </si>
  <si>
    <t>-2.31(kurang)</t>
  </si>
  <si>
    <t>-2.61(sgt pendek)</t>
  </si>
  <si>
    <t>-1.47(gizi baik)</t>
  </si>
  <si>
    <t>77.5</t>
  </si>
  <si>
    <t>-2.37(kurang)</t>
  </si>
  <si>
    <t>-2.77(sgt pendek)</t>
  </si>
  <si>
    <t>-1.42(gizi baik)</t>
  </si>
  <si>
    <t>0.18(gizi baik)</t>
  </si>
  <si>
    <t>9.2</t>
  </si>
  <si>
    <t>-1.47 (normal)</t>
  </si>
  <si>
    <t>-3.32(sgt pendek)</t>
  </si>
  <si>
    <t>-1.71 (normal)</t>
  </si>
  <si>
    <t>-0.13(gizi baik)</t>
  </si>
  <si>
    <t>-1.39 (normal)</t>
  </si>
  <si>
    <t>-3.24(sgt pendek)</t>
  </si>
  <si>
    <t>0.31 (gizi baik)</t>
  </si>
  <si>
    <t>9.9</t>
  </si>
  <si>
    <t>75.7</t>
  </si>
  <si>
    <t>-3.45(sgt pendek)</t>
  </si>
  <si>
    <t>-2.19 (normal)</t>
  </si>
  <si>
    <t>-3.35(sgt pendek)</t>
  </si>
  <si>
    <t>0.65gizi baik)</t>
  </si>
  <si>
    <t>-2.29 (kurang)</t>
  </si>
  <si>
    <t>-3.28(sgt pendek)</t>
  </si>
  <si>
    <t>-0.8(gizi baik)</t>
  </si>
  <si>
    <t>-2.25 (kurang)</t>
  </si>
  <si>
    <t>-3.53(sgt pendek)</t>
  </si>
  <si>
    <t>0.57(gizi baik)</t>
  </si>
  <si>
    <t>-1.15 (normal)</t>
  </si>
  <si>
    <t>-3.42(sgt pendek)</t>
  </si>
  <si>
    <t>0.76 (gizi baik)</t>
  </si>
  <si>
    <t>-3.21(sgt pendek)</t>
  </si>
  <si>
    <t>-1.1 (gizi baik)</t>
  </si>
  <si>
    <t>-2.07 (kurang)</t>
  </si>
  <si>
    <t>-1.95 (normal)</t>
  </si>
  <si>
    <t>-2.57(pendek)</t>
  </si>
  <si>
    <t>0.9(gizi baik)</t>
  </si>
  <si>
    <t>-2.99(pendek)</t>
  </si>
  <si>
    <t>-1.92 (normal)</t>
  </si>
  <si>
    <t>-2.82(pendek)</t>
  </si>
  <si>
    <t>-0.7(gizi baik)</t>
  </si>
  <si>
    <t>-0.73 (normal)</t>
  </si>
  <si>
    <t>-2.43(pendek)</t>
  </si>
  <si>
    <t>0.56 (gizi baik)</t>
  </si>
  <si>
    <t>-0.83 (normal)</t>
  </si>
  <si>
    <t>0.28 (gizi baik)</t>
  </si>
  <si>
    <t>-0.82 (normal)</t>
  </si>
  <si>
    <t>-2.28(pendek)</t>
  </si>
  <si>
    <t>0.41 (gizi baik)</t>
  </si>
  <si>
    <t>76.7</t>
  </si>
  <si>
    <t>-0.91 (normal)</t>
  </si>
  <si>
    <t>-2.54 (pendek)</t>
  </si>
  <si>
    <t>0.5 (gizi baik)</t>
  </si>
  <si>
    <t>-2.13 (kurang)</t>
  </si>
  <si>
    <t>-1.03 (gizi baik)</t>
  </si>
  <si>
    <t>-2.26 (kurang)</t>
  </si>
  <si>
    <t>-2.52(pendek)</t>
  </si>
  <si>
    <t>-2.19 (kurang)</t>
  </si>
  <si>
    <t>-3.1(pendek)</t>
  </si>
  <si>
    <t>9.8</t>
  </si>
  <si>
    <t>-2.33 (kurang)</t>
  </si>
  <si>
    <t>-3.07(pendek)</t>
  </si>
  <si>
    <t>0.93 (gizi baik)</t>
  </si>
  <si>
    <t>-2.37 (kurang)</t>
  </si>
  <si>
    <t>-2.7 (pendek)</t>
  </si>
  <si>
    <t>-1.27 (gizi baik)</t>
  </si>
  <si>
    <t>-2.46 (kurang)</t>
  </si>
  <si>
    <t>-2.86 (kurang)</t>
  </si>
  <si>
    <t>-1.23 (gizi baik)</t>
  </si>
  <si>
    <t>87</t>
  </si>
  <si>
    <t>10.8</t>
  </si>
  <si>
    <t>-2.69 (kurang)</t>
  </si>
  <si>
    <t>-1.76 (gizi baik)</t>
  </si>
  <si>
    <t>-2.52 (kurang)</t>
  </si>
  <si>
    <t>-3 (pendek)</t>
  </si>
  <si>
    <t>-1.2 (pendek)</t>
  </si>
  <si>
    <t>-2.47 (kurang)</t>
  </si>
  <si>
    <t>-3.14 (sangat pendek)</t>
  </si>
  <si>
    <t>-1.06 (gizi baik)</t>
  </si>
  <si>
    <t>-2.3 (kurang)</t>
  </si>
  <si>
    <t>-2.86 ( pendek)</t>
  </si>
  <si>
    <t>-1 (gizi baik)</t>
  </si>
  <si>
    <t>-2.2 (kurang)</t>
  </si>
  <si>
    <t>-2.67 ( pendek)</t>
  </si>
  <si>
    <t>-2.03 (kurang)</t>
  </si>
  <si>
    <t>-2.45 ( pendek)</t>
  </si>
  <si>
    <t>-0.96 (gizi baik)</t>
  </si>
  <si>
    <t>-3.14 (sgt kurang)</t>
  </si>
  <si>
    <t>-4.21 (sangat pendek)</t>
  </si>
  <si>
    <t>-0.9 (gizi baik)</t>
  </si>
  <si>
    <t>-0.5 (gizi baik)</t>
  </si>
  <si>
    <t>65</t>
  </si>
  <si>
    <t>-3.4 (sgt kurang)</t>
  </si>
  <si>
    <t>-4.32 (sangat pendek)</t>
  </si>
  <si>
    <t>-1.31 (gizi baik)</t>
  </si>
  <si>
    <t>6.6</t>
  </si>
  <si>
    <t>67.3</t>
  </si>
  <si>
    <t>-3.32 (sgt kurang)</t>
  </si>
  <si>
    <t>-3.98 (sangat pendek)</t>
  </si>
  <si>
    <t>-1.58 (gizi baik)</t>
  </si>
  <si>
    <t>-2.67 (kurang)</t>
  </si>
  <si>
    <t>-4.25 (sangat pendek)</t>
  </si>
  <si>
    <t>-3.23 (sgt kurang)</t>
  </si>
  <si>
    <t>-2.76 (gizi kurang)</t>
  </si>
  <si>
    <t>-3.61 (sgt kurang)</t>
  </si>
  <si>
    <t>-4.29 (sangat pendek)</t>
  </si>
  <si>
    <t>-1.63 (gizi baik)</t>
  </si>
  <si>
    <t>-2.08 (kurang)</t>
  </si>
  <si>
    <t>-3.95 (sangat pendek)</t>
  </si>
  <si>
    <t>0.62 (gizi baik)</t>
  </si>
  <si>
    <t>-3.46 (sangat pendek)</t>
  </si>
  <si>
    <t>-0.04 (gizi baik)</t>
  </si>
  <si>
    <t>-1.98 (normal)</t>
  </si>
  <si>
    <t>-3.56 (sangat pendek)</t>
  </si>
  <si>
    <t>0.39 (gizi baik)</t>
  </si>
  <si>
    <t>-2.38 (kurang)</t>
  </si>
  <si>
    <t>-3.86 (sangat pendek)</t>
  </si>
  <si>
    <t>0.1 (gizi baik)</t>
  </si>
  <si>
    <t xml:space="preserve">BULAN 1 </t>
  </si>
  <si>
    <t>-3.11 (sgt kurang)</t>
  </si>
  <si>
    <t>-2.74 (pendek)</t>
  </si>
  <si>
    <t>-2.39 (gizi kurang)</t>
  </si>
  <si>
    <t>91.6</t>
  </si>
  <si>
    <t>-2.76 (pendek)</t>
  </si>
  <si>
    <t>-2.41 (gizi kurang)</t>
  </si>
  <si>
    <t>-3.12 (sgt kurang)</t>
  </si>
  <si>
    <t>-2.64 (pendek)</t>
  </si>
  <si>
    <t>-2.47 (gizi kurang)</t>
  </si>
  <si>
    <t>83.9</t>
  </si>
  <si>
    <t>-3.59 (sgt kurang)</t>
  </si>
  <si>
    <t>-2.03 (gizi baik)</t>
  </si>
  <si>
    <t>10.1</t>
  </si>
  <si>
    <t>84.5</t>
  </si>
  <si>
    <t>-3.88 (sgt kurang)</t>
  </si>
  <si>
    <t>-1.49 (gizi baik)</t>
  </si>
  <si>
    <t>-3.25 (sgt kurang)</t>
  </si>
  <si>
    <t>-3.92 (pendek)</t>
  </si>
  <si>
    <t>-1.39 (gizi baik)</t>
  </si>
  <si>
    <t>-1.87 (normal)</t>
  </si>
  <si>
    <t>-3.31 (sangat pendek)</t>
  </si>
  <si>
    <t>-0.19 (gizi baik)</t>
  </si>
  <si>
    <t>-1.87 (kurang)</t>
  </si>
  <si>
    <t>-0.99(gizi baik)</t>
  </si>
  <si>
    <t>70,1</t>
  </si>
  <si>
    <t>-3.18 (sangat pendek)</t>
  </si>
  <si>
    <t>SUSAH MINUM SUSU, JARANG DATANG UNTUK MONEV</t>
  </si>
  <si>
    <t>SUSAH MINUM SUSU, POSITIF TB</t>
  </si>
  <si>
    <t>POSITIF TB</t>
  </si>
  <si>
    <t>ASUPAN MAKAN KURANG (FAKTOR EKONOMI)</t>
  </si>
  <si>
    <t>-</t>
  </si>
  <si>
    <t xml:space="preserve">BULAN 3 </t>
  </si>
  <si>
    <t xml:space="preserve">BULAN 2 </t>
  </si>
  <si>
    <t>INTERVENSI MULAI TANGGAL 12 DESEMBER 2024</t>
  </si>
  <si>
    <t>8.9</t>
  </si>
  <si>
    <t>-3.74 (sgt kurang)</t>
  </si>
  <si>
    <t>-3.45 (sgt pendek)</t>
  </si>
  <si>
    <t>-2.3 (gizi kurang)</t>
  </si>
  <si>
    <t>SUSAH MINUM SUSU. SEMPAT OPNAME</t>
  </si>
  <si>
    <t>bb/u</t>
  </si>
  <si>
    <t>sangat kurang : 4</t>
  </si>
  <si>
    <t>normal : 4</t>
  </si>
  <si>
    <t>kurang : 11</t>
  </si>
  <si>
    <t>sgt pendek : 9</t>
  </si>
  <si>
    <t>pendek : 10</t>
  </si>
  <si>
    <t>gz kurang :  2</t>
  </si>
  <si>
    <t>gz bak : 17</t>
  </si>
  <si>
    <t>sangat kurang : 3</t>
  </si>
  <si>
    <t>kurang : 9</t>
  </si>
  <si>
    <t>normal : 7</t>
  </si>
  <si>
    <t>sgt pendek : 7</t>
  </si>
  <si>
    <t>pendek : 12</t>
  </si>
  <si>
    <t>gz baik : 17</t>
  </si>
  <si>
    <t>tb/u</t>
  </si>
  <si>
    <t>bb/tb</t>
  </si>
  <si>
    <t>REKAP PERUBAHAN STATUS GIZI SETELAH 3 BULAN INTERVENSI</t>
  </si>
  <si>
    <t>LOKUS : DESA SENDEN</t>
  </si>
  <si>
    <t>JUMLAH SUSU DITERIMA (SAMPAI APRIL)</t>
  </si>
  <si>
    <t>KEKURANGAN (MASIH AKAN DIBERIKAN SESUAI KEBUTUHAN)</t>
  </si>
  <si>
    <t xml:space="preserve">KELOMPOK 1 </t>
  </si>
  <si>
    <t>7.2</t>
  </si>
  <si>
    <t>-2,22 ( pendek)</t>
  </si>
  <si>
    <t>-1,36(gizi baik)</t>
  </si>
  <si>
    <t>KELOMPOK 2</t>
  </si>
  <si>
    <t>SETELAH INTERVENSI</t>
  </si>
  <si>
    <t>KELOMPOK 1</t>
  </si>
  <si>
    <t>DAFTAR BALITA PENERIMA PMT PKMK PUSKESMAS MUNGKID TAHUN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</si>
</sst>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.m"/>
    <numFmt numFmtId="165" formatCode="dd\-mm\-yyyy"/>
  </numFmts>
  <fonts count="6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3" borderId="2" xfId="0" applyFont="1" applyFill="1" applyBorder="1"/>
    <xf numFmtId="0" fontId="2" fillId="3" borderId="2" xfId="0" applyFont="1" applyFill="1" applyBorder="1" applyAlignment="1">
      <alignment wrapText="1"/>
    </xf>
    <xf numFmtId="0" fontId="2" fillId="3" borderId="10" xfId="0" applyFont="1" applyFill="1" applyBorder="1"/>
    <xf numFmtId="0" fontId="0" fillId="4" borderId="13" xfId="0" applyFill="1" applyBorder="1"/>
    <xf numFmtId="0" fontId="1" fillId="0" borderId="0" xfId="0" applyFont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0" fillId="0" borderId="9" xfId="0" applyBorder="1"/>
    <xf numFmtId="0" fontId="2" fillId="2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5" borderId="9" xfId="0" applyFont="1" applyFill="1" applyBorder="1"/>
    <xf numFmtId="0" fontId="0" fillId="5" borderId="9" xfId="0" applyFill="1" applyBorder="1"/>
    <xf numFmtId="0" fontId="2" fillId="4" borderId="5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2" fillId="4" borderId="5" xfId="0" applyFont="1" applyFill="1" applyBorder="1"/>
    <xf numFmtId="0" fontId="2" fillId="4" borderId="9" xfId="0" applyFont="1" applyFill="1" applyBorder="1" applyAlignment="1">
      <alignment wrapText="1"/>
    </xf>
    <xf numFmtId="0" fontId="2" fillId="4" borderId="9" xfId="0" applyFont="1" applyFill="1" applyBorder="1"/>
    <xf numFmtId="0" fontId="0" fillId="7" borderId="9" xfId="0" applyFill="1" applyBorder="1"/>
    <xf numFmtId="0" fontId="2" fillId="0" borderId="9" xfId="0" applyFont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14" fontId="2" fillId="3" borderId="10" xfId="0" applyNumberFormat="1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4" fillId="4" borderId="6" xfId="0" applyFont="1" applyFill="1" applyBorder="1"/>
    <xf numFmtId="0" fontId="3" fillId="3" borderId="6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/>
    </xf>
    <xf numFmtId="14" fontId="2" fillId="3" borderId="3" xfId="0" applyNumberFormat="1" applyFont="1" applyFill="1" applyBorder="1" applyAlignment="1">
      <alignment horizontal="center"/>
    </xf>
    <xf numFmtId="14" fontId="2" fillId="3" borderId="4" xfId="0" applyNumberFormat="1" applyFont="1" applyFill="1" applyBorder="1" applyAlignment="1">
      <alignment horizontal="center"/>
    </xf>
    <xf numFmtId="0" fontId="4" fillId="4" borderId="3" xfId="0" applyFont="1" applyFill="1" applyBorder="1"/>
    <xf numFmtId="0" fontId="4" fillId="4" borderId="4" xfId="0" applyFont="1" applyFill="1" applyBorder="1"/>
    <xf numFmtId="14" fontId="2" fillId="3" borderId="3" xfId="0" applyNumberFormat="1" applyFont="1" applyFill="1" applyBorder="1" applyAlignment="1">
      <alignment horizontal="center"/>
    </xf>
    <xf numFmtId="14" fontId="2" fillId="3" borderId="9" xfId="0" applyNumberFormat="1" applyFont="1" applyFill="1" applyBorder="1" applyAlignment="1">
      <alignment horizontal="center"/>
    </xf>
    <xf numFmtId="0" fontId="4" fillId="4" borderId="9" xfId="0" applyFont="1" applyFill="1" applyBorder="1"/>
    <xf numFmtId="0" fontId="0" fillId="4" borderId="9" xfId="0" applyFill="1" applyBorder="1"/>
    <xf numFmtId="0" fontId="4" fillId="4" borderId="11" xfId="0" applyFont="1" applyFill="1" applyBorder="1"/>
    <xf numFmtId="0" fontId="0" fillId="4" borderId="15" xfId="0" applyFill="1" applyBorder="1" applyAlignment="1">
      <alignment horizontal="center" vertical="center" wrapText="1"/>
    </xf>
    <xf numFmtId="0" fontId="4" fillId="4" borderId="7" xfId="0" applyFont="1" applyFill="1" applyBorder="1"/>
    <xf numFmtId="0" fontId="3" fillId="3" borderId="7" xfId="0" applyFont="1" applyFill="1" applyBorder="1" applyAlignment="1">
      <alignment horizontal="center" vertical="center" wrapText="1"/>
    </xf>
    <xf numFmtId="14" fontId="2" fillId="3" borderId="5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14" fontId="2" fillId="3" borderId="9" xfId="0" applyNumberFormat="1" applyFont="1" applyFill="1" applyBorder="1" applyAlignment="1">
      <alignment horizontal="center" vertical="center" wrapText="1"/>
    </xf>
    <xf numFmtId="0" fontId="4" fillId="4" borderId="12" xfId="0" applyFont="1" applyFill="1" applyBorder="1"/>
    <xf numFmtId="0" fontId="0" fillId="4" borderId="16" xfId="0" applyFill="1" applyBorder="1" applyAlignment="1">
      <alignment horizontal="center" vertical="center" wrapText="1"/>
    </xf>
    <xf numFmtId="14" fontId="2" fillId="4" borderId="5" xfId="0" applyNumberFormat="1" applyFont="1" applyFill="1" applyBorder="1" applyAlignment="1">
      <alignment wrapText="1"/>
    </xf>
    <xf numFmtId="2" fontId="2" fillId="4" borderId="5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5" xfId="0" quotePrefix="1" applyFont="1" applyFill="1" applyBorder="1"/>
    <xf numFmtId="49" fontId="2" fillId="4" borderId="5" xfId="0" applyNumberFormat="1" applyFont="1" applyFill="1" applyBorder="1" applyAlignment="1">
      <alignment horizontal="center"/>
    </xf>
    <xf numFmtId="49" fontId="2" fillId="4" borderId="7" xfId="0" applyNumberFormat="1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5" fillId="4" borderId="5" xfId="0" quotePrefix="1" applyFont="1" applyFill="1" applyBorder="1"/>
    <xf numFmtId="49" fontId="5" fillId="4" borderId="5" xfId="0" applyNumberFormat="1" applyFont="1" applyFill="1" applyBorder="1" applyAlignment="1">
      <alignment horizontal="center"/>
    </xf>
    <xf numFmtId="49" fontId="5" fillId="4" borderId="5" xfId="0" applyNumberFormat="1" applyFont="1" applyFill="1" applyBorder="1"/>
    <xf numFmtId="49" fontId="5" fillId="4" borderId="6" xfId="0" quotePrefix="1" applyNumberFormat="1" applyFont="1" applyFill="1" applyBorder="1"/>
    <xf numFmtId="2" fontId="5" fillId="4" borderId="5" xfId="0" applyNumberFormat="1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center"/>
    </xf>
    <xf numFmtId="49" fontId="2" fillId="4" borderId="5" xfId="0" applyNumberFormat="1" applyFont="1" applyFill="1" applyBorder="1"/>
    <xf numFmtId="49" fontId="2" fillId="4" borderId="5" xfId="0" quotePrefix="1" applyNumberFormat="1" applyFont="1" applyFill="1" applyBorder="1"/>
    <xf numFmtId="164" fontId="2" fillId="4" borderId="5" xfId="0" quotePrefix="1" applyNumberFormat="1" applyFont="1" applyFill="1" applyBorder="1"/>
    <xf numFmtId="0" fontId="2" fillId="4" borderId="5" xfId="0" quotePrefix="1" applyFont="1" applyFill="1" applyBorder="1" applyAlignment="1">
      <alignment horizontal="center"/>
    </xf>
    <xf numFmtId="165" fontId="2" fillId="4" borderId="5" xfId="0" applyNumberFormat="1" applyFont="1" applyFill="1" applyBorder="1"/>
    <xf numFmtId="2" fontId="2" fillId="4" borderId="5" xfId="0" applyNumberFormat="1" applyFont="1" applyFill="1" applyBorder="1"/>
    <xf numFmtId="0" fontId="2" fillId="4" borderId="2" xfId="0" quotePrefix="1" applyFont="1" applyFill="1" applyBorder="1"/>
    <xf numFmtId="0" fontId="4" fillId="6" borderId="11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PEMBERIAN SUSU BALITA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PEMBERIAN SUSU BALITA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5"/>
  <sheetViews>
    <sheetView tabSelected="1" zoomScale="80" zoomScaleNormal="80" workbookViewId="0">
      <pane ySplit="4" topLeftCell="A20" activePane="bottomLeft" state="frozen"/>
      <selection pane="bottomLeft" activeCell="A37" sqref="A37"/>
    </sheetView>
  </sheetViews>
  <sheetFormatPr defaultColWidth="14.42578125" defaultRowHeight="15" customHeight="1" x14ac:dyDescent="0.25"/>
  <cols>
    <col min="1" max="1" width="3.5703125" customWidth="1"/>
    <col min="2" max="2" width="21.5703125" customWidth="1"/>
    <col min="3" max="3" width="29.28515625" customWidth="1"/>
    <col min="4" max="4" width="2.7109375" customWidth="1"/>
    <col min="5" max="5" width="12.42578125" customWidth="1"/>
    <col min="6" max="7" width="6.28515625" customWidth="1"/>
    <col min="8" max="8" width="15.85546875" customWidth="1"/>
    <col min="9" max="9" width="15.7109375" customWidth="1"/>
    <col min="10" max="10" width="16.5703125" customWidth="1"/>
    <col min="11" max="11" width="5.7109375" customWidth="1"/>
    <col min="12" max="12" width="5.85546875" customWidth="1"/>
    <col min="13" max="13" width="16.28515625" customWidth="1"/>
    <col min="14" max="14" width="17.140625" customWidth="1"/>
    <col min="15" max="15" width="15.7109375" customWidth="1"/>
    <col min="16" max="17" width="6.7109375" customWidth="1"/>
    <col min="18" max="18" width="12.5703125" customWidth="1"/>
    <col min="19" max="19" width="18.85546875" customWidth="1"/>
    <col min="20" max="20" width="18.28515625" customWidth="1"/>
    <col min="21" max="22" width="6.5703125" customWidth="1"/>
    <col min="23" max="23" width="16" customWidth="1"/>
    <col min="24" max="24" width="17" customWidth="1"/>
    <col min="25" max="25" width="17.28515625" customWidth="1"/>
    <col min="26" max="26" width="45" customWidth="1"/>
    <col min="27" max="27" width="22.42578125" customWidth="1"/>
  </cols>
  <sheetData>
    <row r="1" spans="1:28" ht="23.25" customHeight="1" x14ac:dyDescent="0.25">
      <c r="A1" s="16" t="s">
        <v>360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8" ht="23.2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17" t="s">
        <v>350</v>
      </c>
      <c r="N2" s="17"/>
      <c r="O2" s="17"/>
      <c r="P2" s="17"/>
      <c r="Q2" s="17"/>
      <c r="R2" s="17"/>
      <c r="S2" s="17"/>
      <c r="T2" s="7"/>
      <c r="U2" s="7"/>
      <c r="V2" s="7"/>
      <c r="W2" s="7"/>
      <c r="X2" s="7"/>
      <c r="Y2" s="7"/>
      <c r="Z2" s="7"/>
      <c r="AA2" s="7"/>
    </row>
    <row r="3" spans="1:28" ht="23.25" customHeight="1" x14ac:dyDescent="0.25">
      <c r="A3" s="2" t="s">
        <v>327</v>
      </c>
    </row>
    <row r="4" spans="1:28" ht="10.5" customHeight="1" x14ac:dyDescent="0.25">
      <c r="A4" s="1"/>
    </row>
    <row r="5" spans="1:28" ht="18" customHeight="1" x14ac:dyDescent="0.25">
      <c r="A5" s="23" t="s">
        <v>0</v>
      </c>
      <c r="B5" s="23" t="s">
        <v>1</v>
      </c>
      <c r="C5" s="23" t="s">
        <v>2</v>
      </c>
      <c r="D5" s="23" t="s">
        <v>3</v>
      </c>
      <c r="E5" s="23" t="s">
        <v>4</v>
      </c>
      <c r="F5" s="24" t="s">
        <v>5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6"/>
      <c r="Z5" s="27" t="s">
        <v>83</v>
      </c>
      <c r="AA5" s="28" t="s">
        <v>351</v>
      </c>
      <c r="AB5" s="29" t="s">
        <v>352</v>
      </c>
    </row>
    <row r="6" spans="1:28" ht="21" customHeight="1" x14ac:dyDescent="0.25">
      <c r="A6" s="30"/>
      <c r="B6" s="30"/>
      <c r="C6" s="30"/>
      <c r="D6" s="30"/>
      <c r="E6" s="31"/>
      <c r="F6" s="32" t="s">
        <v>86</v>
      </c>
      <c r="G6" s="33"/>
      <c r="H6" s="33"/>
      <c r="I6" s="33"/>
      <c r="J6" s="34"/>
      <c r="K6" s="32" t="s">
        <v>293</v>
      </c>
      <c r="L6" s="35"/>
      <c r="M6" s="35"/>
      <c r="N6" s="36"/>
      <c r="O6" s="37"/>
      <c r="P6" s="32" t="s">
        <v>326</v>
      </c>
      <c r="Q6" s="33"/>
      <c r="R6" s="33"/>
      <c r="S6" s="33"/>
      <c r="T6" s="33"/>
      <c r="U6" s="38" t="s">
        <v>325</v>
      </c>
      <c r="V6" s="39"/>
      <c r="W6" s="39"/>
      <c r="X6" s="39"/>
      <c r="Y6" s="40"/>
      <c r="Z6" s="41"/>
      <c r="AA6" s="42"/>
      <c r="AB6" s="29"/>
    </row>
    <row r="7" spans="1:28" ht="37.5" customHeight="1" x14ac:dyDescent="0.25">
      <c r="A7" s="43"/>
      <c r="B7" s="43"/>
      <c r="C7" s="43"/>
      <c r="D7" s="43"/>
      <c r="E7" s="44"/>
      <c r="F7" s="45" t="s">
        <v>6</v>
      </c>
      <c r="G7" s="45" t="s">
        <v>7</v>
      </c>
      <c r="H7" s="45" t="s">
        <v>87</v>
      </c>
      <c r="I7" s="45" t="s">
        <v>88</v>
      </c>
      <c r="J7" s="45" t="s">
        <v>89</v>
      </c>
      <c r="K7" s="45" t="s">
        <v>6</v>
      </c>
      <c r="L7" s="45" t="s">
        <v>7</v>
      </c>
      <c r="M7" s="45" t="s">
        <v>87</v>
      </c>
      <c r="N7" s="45" t="s">
        <v>88</v>
      </c>
      <c r="O7" s="45" t="s">
        <v>89</v>
      </c>
      <c r="P7" s="45" t="s">
        <v>6</v>
      </c>
      <c r="Q7" s="45" t="s">
        <v>7</v>
      </c>
      <c r="R7" s="45" t="s">
        <v>87</v>
      </c>
      <c r="S7" s="45" t="s">
        <v>88</v>
      </c>
      <c r="T7" s="46" t="s">
        <v>89</v>
      </c>
      <c r="U7" s="47" t="s">
        <v>6</v>
      </c>
      <c r="V7" s="47" t="s">
        <v>7</v>
      </c>
      <c r="W7" s="45" t="s">
        <v>87</v>
      </c>
      <c r="X7" s="45" t="s">
        <v>88</v>
      </c>
      <c r="Y7" s="46" t="s">
        <v>89</v>
      </c>
      <c r="Z7" s="48"/>
      <c r="AA7" s="49"/>
      <c r="AB7" s="29"/>
    </row>
    <row r="8" spans="1:28" ht="37.5" customHeight="1" x14ac:dyDescent="0.25">
      <c r="A8" s="70" t="s">
        <v>359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2"/>
    </row>
    <row r="9" spans="1:28" ht="21" customHeight="1" x14ac:dyDescent="0.25">
      <c r="A9" s="18">
        <v>1</v>
      </c>
      <c r="B9" s="15" t="s">
        <v>37</v>
      </c>
      <c r="C9" s="15" t="s">
        <v>38</v>
      </c>
      <c r="D9" s="15" t="s">
        <v>15</v>
      </c>
      <c r="E9" s="50">
        <v>45100</v>
      </c>
      <c r="F9" s="51">
        <v>9.2200000000000006</v>
      </c>
      <c r="G9" s="52">
        <v>73</v>
      </c>
      <c r="H9" s="53" t="s">
        <v>184</v>
      </c>
      <c r="I9" s="57" t="s">
        <v>185</v>
      </c>
      <c r="J9" s="57" t="s">
        <v>182</v>
      </c>
      <c r="K9" s="51" t="s">
        <v>183</v>
      </c>
      <c r="L9" s="52">
        <v>74</v>
      </c>
      <c r="M9" s="53" t="s">
        <v>186</v>
      </c>
      <c r="N9" s="57" t="s">
        <v>185</v>
      </c>
      <c r="O9" s="57" t="s">
        <v>187</v>
      </c>
      <c r="P9" s="51">
        <v>9.6</v>
      </c>
      <c r="Q9" s="54" t="s">
        <v>40</v>
      </c>
      <c r="R9" s="53" t="s">
        <v>188</v>
      </c>
      <c r="S9" s="57" t="s">
        <v>189</v>
      </c>
      <c r="T9" s="57" t="s">
        <v>190</v>
      </c>
      <c r="U9" s="62" t="s">
        <v>191</v>
      </c>
      <c r="V9" s="54" t="s">
        <v>192</v>
      </c>
      <c r="W9" s="53" t="s">
        <v>184</v>
      </c>
      <c r="X9" s="57" t="s">
        <v>193</v>
      </c>
      <c r="Y9" s="57" t="s">
        <v>190</v>
      </c>
      <c r="Z9" s="3" t="s">
        <v>332</v>
      </c>
      <c r="AA9" s="56">
        <v>18</v>
      </c>
      <c r="AB9" s="40">
        <f>28-AA9</f>
        <v>10</v>
      </c>
    </row>
    <row r="10" spans="1:28" ht="21" customHeight="1" x14ac:dyDescent="0.25">
      <c r="A10" s="18">
        <v>2</v>
      </c>
      <c r="B10" s="15" t="s">
        <v>41</v>
      </c>
      <c r="C10" s="15" t="s">
        <v>42</v>
      </c>
      <c r="D10" s="15" t="s">
        <v>10</v>
      </c>
      <c r="E10" s="50">
        <v>45123</v>
      </c>
      <c r="F10" s="51">
        <v>7.7</v>
      </c>
      <c r="G10" s="52">
        <v>70</v>
      </c>
      <c r="H10" s="53" t="s">
        <v>194</v>
      </c>
      <c r="I10" s="57" t="s">
        <v>195</v>
      </c>
      <c r="J10" s="57" t="s">
        <v>196</v>
      </c>
      <c r="K10" s="51">
        <v>7.8</v>
      </c>
      <c r="L10" s="54" t="s">
        <v>43</v>
      </c>
      <c r="M10" s="63" t="s">
        <v>197</v>
      </c>
      <c r="N10" s="63" t="s">
        <v>198</v>
      </c>
      <c r="O10" s="63" t="s">
        <v>199</v>
      </c>
      <c r="P10" s="51">
        <v>8.1999999999999993</v>
      </c>
      <c r="Q10" s="54" t="s">
        <v>44</v>
      </c>
      <c r="R10" s="63" t="s">
        <v>200</v>
      </c>
      <c r="S10" s="63" t="s">
        <v>201</v>
      </c>
      <c r="T10" s="63" t="s">
        <v>202</v>
      </c>
      <c r="U10" s="62">
        <v>45756</v>
      </c>
      <c r="V10" s="54" t="s">
        <v>39</v>
      </c>
      <c r="W10" s="63" t="s">
        <v>203</v>
      </c>
      <c r="X10" s="63" t="s">
        <v>204</v>
      </c>
      <c r="Y10" s="63" t="s">
        <v>205</v>
      </c>
      <c r="Z10" s="3" t="s">
        <v>321</v>
      </c>
      <c r="AA10" s="56">
        <v>15</v>
      </c>
      <c r="AB10" s="40">
        <f>28-AA10</f>
        <v>13</v>
      </c>
    </row>
    <row r="11" spans="1:28" ht="21" customHeight="1" x14ac:dyDescent="0.25">
      <c r="A11" s="18">
        <v>3</v>
      </c>
      <c r="B11" s="15" t="s">
        <v>50</v>
      </c>
      <c r="C11" s="15" t="s">
        <v>51</v>
      </c>
      <c r="D11" s="15" t="s">
        <v>10</v>
      </c>
      <c r="E11" s="50">
        <v>45090</v>
      </c>
      <c r="F11" s="51">
        <v>9.35</v>
      </c>
      <c r="G11" s="54" t="s">
        <v>45</v>
      </c>
      <c r="H11" s="53" t="s">
        <v>216</v>
      </c>
      <c r="I11" s="53" t="s">
        <v>217</v>
      </c>
      <c r="J11" s="53" t="s">
        <v>218</v>
      </c>
      <c r="K11" s="51">
        <v>9.5</v>
      </c>
      <c r="L11" s="54" t="s">
        <v>52</v>
      </c>
      <c r="M11" s="53" t="s">
        <v>219</v>
      </c>
      <c r="N11" s="53" t="s">
        <v>125</v>
      </c>
      <c r="O11" s="53" t="s">
        <v>220</v>
      </c>
      <c r="P11" s="51">
        <v>9.8000000000000007</v>
      </c>
      <c r="Q11" s="54" t="s">
        <v>36</v>
      </c>
      <c r="R11" s="53" t="s">
        <v>221</v>
      </c>
      <c r="S11" s="53" t="s">
        <v>222</v>
      </c>
      <c r="T11" s="53" t="s">
        <v>223</v>
      </c>
      <c r="U11" s="51" t="s">
        <v>191</v>
      </c>
      <c r="V11" s="54" t="s">
        <v>224</v>
      </c>
      <c r="W11" s="53" t="s">
        <v>225</v>
      </c>
      <c r="X11" s="53" t="s">
        <v>226</v>
      </c>
      <c r="Y11" s="53" t="s">
        <v>227</v>
      </c>
      <c r="Z11" s="3" t="s">
        <v>324</v>
      </c>
      <c r="AA11" s="56">
        <v>20</v>
      </c>
      <c r="AB11" s="40">
        <f>28-AA11</f>
        <v>8</v>
      </c>
    </row>
    <row r="12" spans="1:28" ht="21" customHeight="1" x14ac:dyDescent="0.25">
      <c r="A12" s="18">
        <v>4</v>
      </c>
      <c r="B12" s="15" t="s">
        <v>54</v>
      </c>
      <c r="C12" s="15" t="s">
        <v>55</v>
      </c>
      <c r="D12" s="15" t="s">
        <v>15</v>
      </c>
      <c r="E12" s="50">
        <v>44923</v>
      </c>
      <c r="F12" s="51">
        <v>9.4499999999999993</v>
      </c>
      <c r="G12" s="52">
        <v>79.099999999999994</v>
      </c>
      <c r="H12" s="53" t="s">
        <v>228</v>
      </c>
      <c r="I12" s="53" t="s">
        <v>136</v>
      </c>
      <c r="J12" s="53" t="s">
        <v>229</v>
      </c>
      <c r="K12" s="51">
        <v>9.5</v>
      </c>
      <c r="L12" s="54" t="s">
        <v>24</v>
      </c>
      <c r="M12" s="53" t="s">
        <v>230</v>
      </c>
      <c r="N12" s="53" t="s">
        <v>231</v>
      </c>
      <c r="O12" s="53" t="s">
        <v>141</v>
      </c>
      <c r="P12" s="51">
        <v>9.8000000000000007</v>
      </c>
      <c r="Q12" s="54" t="s">
        <v>56</v>
      </c>
      <c r="R12" s="53" t="s">
        <v>232</v>
      </c>
      <c r="S12" s="53" t="s">
        <v>233</v>
      </c>
      <c r="T12" s="53" t="s">
        <v>205</v>
      </c>
      <c r="U12" s="62" t="s">
        <v>234</v>
      </c>
      <c r="V12" s="54" t="s">
        <v>24</v>
      </c>
      <c r="W12" s="53" t="s">
        <v>235</v>
      </c>
      <c r="X12" s="53" t="s">
        <v>236</v>
      </c>
      <c r="Y12" s="53" t="s">
        <v>237</v>
      </c>
      <c r="Z12" s="3" t="s">
        <v>324</v>
      </c>
      <c r="AA12" s="56">
        <v>19</v>
      </c>
      <c r="AB12" s="40">
        <f>28-AA12</f>
        <v>9</v>
      </c>
    </row>
    <row r="13" spans="1:28" ht="21" customHeight="1" x14ac:dyDescent="0.25">
      <c r="A13" s="18">
        <v>5</v>
      </c>
      <c r="B13" s="15" t="s">
        <v>57</v>
      </c>
      <c r="C13" s="15" t="s">
        <v>58</v>
      </c>
      <c r="D13" s="15" t="s">
        <v>15</v>
      </c>
      <c r="E13" s="50">
        <v>44551</v>
      </c>
      <c r="F13" s="51">
        <v>10.75</v>
      </c>
      <c r="G13" s="52">
        <v>85.9</v>
      </c>
      <c r="H13" s="53" t="s">
        <v>238</v>
      </c>
      <c r="I13" s="53" t="s">
        <v>239</v>
      </c>
      <c r="J13" s="53" t="s">
        <v>240</v>
      </c>
      <c r="K13" s="51">
        <v>10.8</v>
      </c>
      <c r="L13" s="52">
        <v>86</v>
      </c>
      <c r="M13" s="53" t="s">
        <v>241</v>
      </c>
      <c r="N13" s="53" t="s">
        <v>242</v>
      </c>
      <c r="O13" s="53" t="s">
        <v>243</v>
      </c>
      <c r="P13" s="51">
        <v>10.9</v>
      </c>
      <c r="Q13" s="54" t="s">
        <v>244</v>
      </c>
      <c r="R13" s="53" t="s">
        <v>248</v>
      </c>
      <c r="S13" s="53" t="s">
        <v>249</v>
      </c>
      <c r="T13" s="53" t="s">
        <v>250</v>
      </c>
      <c r="U13" s="66" t="s">
        <v>245</v>
      </c>
      <c r="V13" s="52">
        <v>88</v>
      </c>
      <c r="W13" s="63" t="s">
        <v>246</v>
      </c>
      <c r="X13" s="53" t="s">
        <v>239</v>
      </c>
      <c r="Y13" s="53" t="s">
        <v>247</v>
      </c>
      <c r="Z13" s="3" t="s">
        <v>324</v>
      </c>
      <c r="AA13" s="56">
        <v>26</v>
      </c>
      <c r="AB13" s="40">
        <f>28-AA13</f>
        <v>2</v>
      </c>
    </row>
    <row r="14" spans="1:28" ht="21" customHeight="1" x14ac:dyDescent="0.25">
      <c r="A14" s="18">
        <v>6</v>
      </c>
      <c r="B14" s="15" t="s">
        <v>63</v>
      </c>
      <c r="C14" s="15" t="s">
        <v>64</v>
      </c>
      <c r="D14" s="15" t="s">
        <v>10</v>
      </c>
      <c r="E14" s="50">
        <v>45245</v>
      </c>
      <c r="F14" s="51">
        <v>6.3</v>
      </c>
      <c r="G14" s="52">
        <v>64</v>
      </c>
      <c r="H14" s="53" t="s">
        <v>262</v>
      </c>
      <c r="I14" s="53" t="s">
        <v>263</v>
      </c>
      <c r="J14" s="53" t="s">
        <v>264</v>
      </c>
      <c r="K14" s="51">
        <v>6.3</v>
      </c>
      <c r="L14" s="54" t="s">
        <v>266</v>
      </c>
      <c r="M14" s="53" t="s">
        <v>267</v>
      </c>
      <c r="N14" s="53" t="s">
        <v>268</v>
      </c>
      <c r="O14" s="53" t="s">
        <v>269</v>
      </c>
      <c r="P14" s="51" t="s">
        <v>270</v>
      </c>
      <c r="Q14" s="54" t="s">
        <v>271</v>
      </c>
      <c r="R14" s="53" t="s">
        <v>272</v>
      </c>
      <c r="S14" s="53" t="s">
        <v>273</v>
      </c>
      <c r="T14" s="53" t="s">
        <v>274</v>
      </c>
      <c r="U14" s="62">
        <v>45814</v>
      </c>
      <c r="V14" s="54" t="s">
        <v>65</v>
      </c>
      <c r="W14" s="53" t="s">
        <v>275</v>
      </c>
      <c r="X14" s="53" t="s">
        <v>276</v>
      </c>
      <c r="Y14" s="53" t="s">
        <v>265</v>
      </c>
      <c r="Z14" s="3" t="s">
        <v>23</v>
      </c>
      <c r="AA14" s="56">
        <v>28</v>
      </c>
      <c r="AB14" s="40">
        <f>28-AA14</f>
        <v>0</v>
      </c>
    </row>
    <row r="15" spans="1:28" ht="21" customHeight="1" x14ac:dyDescent="0.25">
      <c r="A15" s="18">
        <v>7</v>
      </c>
      <c r="B15" s="15" t="s">
        <v>66</v>
      </c>
      <c r="C15" s="15" t="s">
        <v>67</v>
      </c>
      <c r="D15" s="15" t="s">
        <v>15</v>
      </c>
      <c r="E15" s="50">
        <v>44271</v>
      </c>
      <c r="F15" s="51">
        <v>10.6</v>
      </c>
      <c r="G15" s="52">
        <v>91</v>
      </c>
      <c r="H15" s="53" t="s">
        <v>277</v>
      </c>
      <c r="I15" s="53" t="s">
        <v>120</v>
      </c>
      <c r="J15" s="53" t="s">
        <v>278</v>
      </c>
      <c r="K15" s="51">
        <v>10.9</v>
      </c>
      <c r="L15" s="54" t="s">
        <v>68</v>
      </c>
      <c r="M15" s="53" t="s">
        <v>294</v>
      </c>
      <c r="N15" s="53" t="s">
        <v>295</v>
      </c>
      <c r="O15" s="53" t="s">
        <v>296</v>
      </c>
      <c r="P15" s="51">
        <v>11</v>
      </c>
      <c r="Q15" s="54" t="s">
        <v>297</v>
      </c>
      <c r="R15" s="53" t="s">
        <v>262</v>
      </c>
      <c r="S15" s="53" t="s">
        <v>298</v>
      </c>
      <c r="T15" s="53" t="s">
        <v>299</v>
      </c>
      <c r="U15" s="54" t="s">
        <v>28</v>
      </c>
      <c r="V15" s="54" t="s">
        <v>69</v>
      </c>
      <c r="W15" s="53" t="s">
        <v>300</v>
      </c>
      <c r="X15" s="53" t="s">
        <v>301</v>
      </c>
      <c r="Y15" s="53" t="s">
        <v>302</v>
      </c>
      <c r="Z15" s="3" t="s">
        <v>323</v>
      </c>
      <c r="AA15" s="56">
        <v>24</v>
      </c>
      <c r="AB15" s="40">
        <f>28-AA15</f>
        <v>4</v>
      </c>
    </row>
    <row r="16" spans="1:28" ht="21" customHeight="1" x14ac:dyDescent="0.25">
      <c r="A16" s="18">
        <v>8</v>
      </c>
      <c r="B16" s="18" t="s">
        <v>79</v>
      </c>
      <c r="C16" s="18" t="s">
        <v>80</v>
      </c>
      <c r="D16" s="18" t="s">
        <v>15</v>
      </c>
      <c r="E16" s="67">
        <v>45336</v>
      </c>
      <c r="F16" s="68" t="s">
        <v>354</v>
      </c>
      <c r="G16" s="18">
        <v>68.3</v>
      </c>
      <c r="H16" s="53" t="s">
        <v>142</v>
      </c>
      <c r="I16" s="53" t="s">
        <v>355</v>
      </c>
      <c r="J16" s="53" t="s">
        <v>356</v>
      </c>
      <c r="K16" s="68"/>
      <c r="L16" s="63"/>
      <c r="M16" s="63"/>
      <c r="N16" s="63"/>
      <c r="O16" s="63"/>
      <c r="P16" s="51">
        <v>8</v>
      </c>
      <c r="Q16" s="54" t="s">
        <v>81</v>
      </c>
      <c r="R16" s="53" t="s">
        <v>313</v>
      </c>
      <c r="S16" s="53" t="s">
        <v>314</v>
      </c>
      <c r="T16" s="53" t="s">
        <v>315</v>
      </c>
      <c r="U16" s="54" t="s">
        <v>82</v>
      </c>
      <c r="V16" s="54" t="s">
        <v>318</v>
      </c>
      <c r="W16" s="53" t="s">
        <v>316</v>
      </c>
      <c r="X16" s="53" t="s">
        <v>319</v>
      </c>
      <c r="Y16" s="69" t="s">
        <v>317</v>
      </c>
      <c r="Z16" s="6"/>
      <c r="AA16" s="56">
        <v>17</v>
      </c>
      <c r="AB16" s="40">
        <f>28-AA16</f>
        <v>11</v>
      </c>
    </row>
    <row r="17" spans="1:28" ht="43.5" customHeight="1" x14ac:dyDescent="0.25">
      <c r="A17" s="70" t="s">
        <v>357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2"/>
    </row>
    <row r="18" spans="1:28" ht="21" customHeight="1" x14ac:dyDescent="0.25">
      <c r="A18" s="18">
        <v>1</v>
      </c>
      <c r="B18" s="15" t="s">
        <v>8</v>
      </c>
      <c r="C18" s="15" t="s">
        <v>9</v>
      </c>
      <c r="D18" s="15" t="s">
        <v>10</v>
      </c>
      <c r="E18" s="50">
        <v>44627</v>
      </c>
      <c r="F18" s="51">
        <v>7.9</v>
      </c>
      <c r="G18" s="52">
        <v>78.8</v>
      </c>
      <c r="H18" s="53" t="s">
        <v>90</v>
      </c>
      <c r="I18" s="53" t="s">
        <v>91</v>
      </c>
      <c r="J18" s="53" t="s">
        <v>92</v>
      </c>
      <c r="K18" s="51">
        <v>8.1</v>
      </c>
      <c r="L18" s="54" t="s">
        <v>11</v>
      </c>
      <c r="M18" s="53" t="s">
        <v>93</v>
      </c>
      <c r="N18" s="53" t="s">
        <v>94</v>
      </c>
      <c r="O18" s="53" t="s">
        <v>95</v>
      </c>
      <c r="P18" s="51">
        <v>8.5</v>
      </c>
      <c r="Q18" s="54" t="s">
        <v>12</v>
      </c>
      <c r="R18" s="53" t="s">
        <v>96</v>
      </c>
      <c r="S18" s="53" t="s">
        <v>97</v>
      </c>
      <c r="T18" s="53" t="s">
        <v>98</v>
      </c>
      <c r="U18" s="55" t="s">
        <v>328</v>
      </c>
      <c r="V18" s="55" t="s">
        <v>149</v>
      </c>
      <c r="W18" s="53" t="s">
        <v>329</v>
      </c>
      <c r="X18" s="53" t="s">
        <v>330</v>
      </c>
      <c r="Y18" s="53" t="s">
        <v>331</v>
      </c>
      <c r="Z18" s="3" t="s">
        <v>84</v>
      </c>
      <c r="AA18" s="56">
        <v>28</v>
      </c>
      <c r="AB18" s="40">
        <f>28-AA18</f>
        <v>0</v>
      </c>
    </row>
    <row r="19" spans="1:28" ht="21" customHeight="1" x14ac:dyDescent="0.25">
      <c r="A19" s="18">
        <v>2</v>
      </c>
      <c r="B19" s="15" t="s">
        <v>13</v>
      </c>
      <c r="C19" s="15" t="s">
        <v>14</v>
      </c>
      <c r="D19" s="15" t="s">
        <v>15</v>
      </c>
      <c r="E19" s="50">
        <v>44875</v>
      </c>
      <c r="F19" s="51">
        <v>9.1999999999999993</v>
      </c>
      <c r="G19" s="52">
        <v>81</v>
      </c>
      <c r="H19" s="53" t="s">
        <v>99</v>
      </c>
      <c r="I19" s="53" t="s">
        <v>100</v>
      </c>
      <c r="J19" s="53" t="s">
        <v>101</v>
      </c>
      <c r="K19" s="51">
        <v>9.1</v>
      </c>
      <c r="L19" s="54" t="s">
        <v>16</v>
      </c>
      <c r="M19" s="53" t="s">
        <v>102</v>
      </c>
      <c r="N19" s="53" t="s">
        <v>103</v>
      </c>
      <c r="O19" s="53" t="s">
        <v>104</v>
      </c>
      <c r="P19" s="51">
        <v>9.5</v>
      </c>
      <c r="Q19" s="54" t="s">
        <v>105</v>
      </c>
      <c r="R19" s="57" t="s">
        <v>108</v>
      </c>
      <c r="S19" s="57" t="s">
        <v>106</v>
      </c>
      <c r="T19" s="57" t="s">
        <v>107</v>
      </c>
      <c r="U19" s="58" t="s">
        <v>109</v>
      </c>
      <c r="V19" s="58" t="s">
        <v>110</v>
      </c>
      <c r="W19" s="59" t="s">
        <v>111</v>
      </c>
      <c r="X19" s="59" t="s">
        <v>106</v>
      </c>
      <c r="Y19" s="60" t="s">
        <v>112</v>
      </c>
      <c r="Z19" s="3" t="s">
        <v>23</v>
      </c>
      <c r="AA19" s="56">
        <v>14</v>
      </c>
      <c r="AB19" s="40">
        <f>28-AA19</f>
        <v>14</v>
      </c>
    </row>
    <row r="20" spans="1:28" ht="21" customHeight="1" x14ac:dyDescent="0.25">
      <c r="A20" s="18">
        <v>3</v>
      </c>
      <c r="B20" s="15" t="s">
        <v>17</v>
      </c>
      <c r="C20" s="15" t="s">
        <v>18</v>
      </c>
      <c r="D20" s="15" t="s">
        <v>15</v>
      </c>
      <c r="E20" s="50">
        <v>44681</v>
      </c>
      <c r="F20" s="51">
        <v>11.4</v>
      </c>
      <c r="G20" s="52">
        <v>82.2</v>
      </c>
      <c r="H20" s="57" t="s">
        <v>113</v>
      </c>
      <c r="I20" s="57" t="s">
        <v>115</v>
      </c>
      <c r="J20" s="57" t="s">
        <v>114</v>
      </c>
      <c r="K20" s="51">
        <v>11.2</v>
      </c>
      <c r="L20" s="54" t="s">
        <v>19</v>
      </c>
      <c r="M20" s="57" t="s">
        <v>116</v>
      </c>
      <c r="N20" s="57" t="s">
        <v>117</v>
      </c>
      <c r="O20" s="57" t="s">
        <v>118</v>
      </c>
      <c r="P20" s="51">
        <v>11.8</v>
      </c>
      <c r="Q20" s="54" t="s">
        <v>20</v>
      </c>
      <c r="R20" s="57" t="s">
        <v>119</v>
      </c>
      <c r="S20" s="57" t="s">
        <v>120</v>
      </c>
      <c r="T20" s="57" t="s">
        <v>121</v>
      </c>
      <c r="U20" s="61" t="s">
        <v>123</v>
      </c>
      <c r="V20" s="58" t="s">
        <v>122</v>
      </c>
      <c r="W20" s="57" t="s">
        <v>124</v>
      </c>
      <c r="X20" s="57" t="s">
        <v>125</v>
      </c>
      <c r="Y20" s="57" t="s">
        <v>126</v>
      </c>
      <c r="Z20" s="4" t="s">
        <v>85</v>
      </c>
      <c r="AA20" s="56">
        <v>16</v>
      </c>
      <c r="AB20" s="40">
        <f>28-AA20</f>
        <v>12</v>
      </c>
    </row>
    <row r="21" spans="1:28" ht="30.75" customHeight="1" x14ac:dyDescent="0.25">
      <c r="A21" s="18">
        <v>4</v>
      </c>
      <c r="B21" s="15" t="s">
        <v>21</v>
      </c>
      <c r="C21" s="15" t="s">
        <v>22</v>
      </c>
      <c r="D21" s="15" t="s">
        <v>15</v>
      </c>
      <c r="E21" s="50">
        <v>45003</v>
      </c>
      <c r="F21" s="51">
        <v>8.4499999999999993</v>
      </c>
      <c r="G21" s="52">
        <v>76.8</v>
      </c>
      <c r="H21" s="57" t="s">
        <v>127</v>
      </c>
      <c r="I21" s="57" t="s">
        <v>128</v>
      </c>
      <c r="J21" s="57" t="s">
        <v>133</v>
      </c>
      <c r="K21" s="61" t="s">
        <v>129</v>
      </c>
      <c r="L21" s="58" t="s">
        <v>53</v>
      </c>
      <c r="M21" s="57" t="s">
        <v>130</v>
      </c>
      <c r="N21" s="57" t="s">
        <v>131</v>
      </c>
      <c r="O21" s="57" t="s">
        <v>132</v>
      </c>
      <c r="P21" s="51">
        <v>9</v>
      </c>
      <c r="Q21" s="54" t="s">
        <v>134</v>
      </c>
      <c r="R21" s="57" t="s">
        <v>135</v>
      </c>
      <c r="S21" s="57" t="s">
        <v>136</v>
      </c>
      <c r="T21" s="57" t="s">
        <v>137</v>
      </c>
      <c r="U21" s="51" t="s">
        <v>138</v>
      </c>
      <c r="V21" s="54" t="s">
        <v>24</v>
      </c>
      <c r="W21" s="57" t="s">
        <v>139</v>
      </c>
      <c r="X21" s="57" t="s">
        <v>140</v>
      </c>
      <c r="Y21" s="57" t="s">
        <v>141</v>
      </c>
      <c r="Z21" s="4" t="s">
        <v>320</v>
      </c>
      <c r="AA21" s="56">
        <v>7</v>
      </c>
      <c r="AB21" s="40">
        <f t="shared" ref="AB21:AB28" si="0">28-AA21</f>
        <v>21</v>
      </c>
    </row>
    <row r="22" spans="1:28" ht="21" customHeight="1" x14ac:dyDescent="0.25">
      <c r="A22" s="18">
        <v>5</v>
      </c>
      <c r="B22" s="15" t="s">
        <v>25</v>
      </c>
      <c r="C22" s="15" t="s">
        <v>26</v>
      </c>
      <c r="D22" s="15" t="s">
        <v>15</v>
      </c>
      <c r="E22" s="50">
        <v>44783</v>
      </c>
      <c r="F22" s="51">
        <v>10</v>
      </c>
      <c r="G22" s="52">
        <v>81.900000000000006</v>
      </c>
      <c r="H22" s="57" t="s">
        <v>142</v>
      </c>
      <c r="I22" s="57" t="s">
        <v>143</v>
      </c>
      <c r="J22" s="57" t="s">
        <v>145</v>
      </c>
      <c r="K22" s="51">
        <v>10.7</v>
      </c>
      <c r="L22" s="54" t="s">
        <v>27</v>
      </c>
      <c r="M22" s="57" t="s">
        <v>146</v>
      </c>
      <c r="N22" s="57" t="s">
        <v>147</v>
      </c>
      <c r="O22" s="57" t="s">
        <v>160</v>
      </c>
      <c r="P22" s="54" t="s">
        <v>148</v>
      </c>
      <c r="Q22" s="54" t="s">
        <v>149</v>
      </c>
      <c r="R22" s="57" t="s">
        <v>150</v>
      </c>
      <c r="S22" s="57" t="s">
        <v>151</v>
      </c>
      <c r="T22" s="57" t="s">
        <v>152</v>
      </c>
      <c r="U22" s="62" t="s">
        <v>153</v>
      </c>
      <c r="V22" s="54" t="s">
        <v>154</v>
      </c>
      <c r="W22" s="63" t="s">
        <v>155</v>
      </c>
      <c r="X22" s="64" t="s">
        <v>164</v>
      </c>
      <c r="Y22" s="65" t="s">
        <v>156</v>
      </c>
      <c r="Z22" s="4" t="s">
        <v>23</v>
      </c>
      <c r="AA22" s="56">
        <v>16</v>
      </c>
      <c r="AB22" s="40">
        <f t="shared" si="0"/>
        <v>12</v>
      </c>
    </row>
    <row r="23" spans="1:28" ht="21" customHeight="1" x14ac:dyDescent="0.25">
      <c r="A23" s="18">
        <v>6</v>
      </c>
      <c r="B23" s="15" t="s">
        <v>29</v>
      </c>
      <c r="C23" s="15" t="s">
        <v>30</v>
      </c>
      <c r="D23" s="15" t="s">
        <v>10</v>
      </c>
      <c r="E23" s="50">
        <v>44859</v>
      </c>
      <c r="F23" s="51">
        <v>9.5500000000000007</v>
      </c>
      <c r="G23" s="52">
        <v>77.5</v>
      </c>
      <c r="H23" s="57" t="s">
        <v>157</v>
      </c>
      <c r="I23" s="57" t="s">
        <v>144</v>
      </c>
      <c r="J23" s="57" t="s">
        <v>158</v>
      </c>
      <c r="K23" s="51">
        <v>9.8000000000000007</v>
      </c>
      <c r="L23" s="54" t="s">
        <v>24</v>
      </c>
      <c r="M23" s="57" t="s">
        <v>159</v>
      </c>
      <c r="N23" s="57" t="s">
        <v>143</v>
      </c>
      <c r="O23" s="57" t="s">
        <v>161</v>
      </c>
      <c r="P23" s="51">
        <v>10.1</v>
      </c>
      <c r="Q23" s="54" t="s">
        <v>31</v>
      </c>
      <c r="R23" s="57" t="s">
        <v>162</v>
      </c>
      <c r="S23" s="57" t="s">
        <v>151</v>
      </c>
      <c r="T23" s="57" t="s">
        <v>161</v>
      </c>
      <c r="U23" s="62">
        <v>45667</v>
      </c>
      <c r="V23" s="54" t="s">
        <v>27</v>
      </c>
      <c r="W23" s="63" t="s">
        <v>163</v>
      </c>
      <c r="X23" s="64" t="s">
        <v>165</v>
      </c>
      <c r="Y23" s="65" t="s">
        <v>166</v>
      </c>
      <c r="Z23" s="3" t="s">
        <v>324</v>
      </c>
      <c r="AA23" s="56">
        <v>28</v>
      </c>
      <c r="AB23" s="40">
        <f t="shared" si="0"/>
        <v>0</v>
      </c>
    </row>
    <row r="24" spans="1:28" ht="21" customHeight="1" x14ac:dyDescent="0.25">
      <c r="A24" s="18">
        <v>7</v>
      </c>
      <c r="B24" s="15" t="s">
        <v>33</v>
      </c>
      <c r="C24" s="15" t="s">
        <v>34</v>
      </c>
      <c r="D24" s="15" t="s">
        <v>15</v>
      </c>
      <c r="E24" s="50">
        <v>45108</v>
      </c>
      <c r="F24" s="51">
        <v>8.3000000000000007</v>
      </c>
      <c r="G24" s="52">
        <v>73.2</v>
      </c>
      <c r="H24" s="53" t="s">
        <v>167</v>
      </c>
      <c r="I24" s="57" t="s">
        <v>168</v>
      </c>
      <c r="J24" s="57" t="s">
        <v>169</v>
      </c>
      <c r="K24" s="51" t="s">
        <v>170</v>
      </c>
      <c r="L24" s="54" t="s">
        <v>171</v>
      </c>
      <c r="M24" s="53" t="s">
        <v>172</v>
      </c>
      <c r="N24" s="57" t="s">
        <v>173</v>
      </c>
      <c r="O24" s="57" t="s">
        <v>174</v>
      </c>
      <c r="P24" s="51">
        <v>8.8000000000000007</v>
      </c>
      <c r="Q24" s="54" t="s">
        <v>35</v>
      </c>
      <c r="R24" s="53" t="s">
        <v>175</v>
      </c>
      <c r="S24" s="57" t="s">
        <v>176</v>
      </c>
      <c r="T24" s="57" t="s">
        <v>177</v>
      </c>
      <c r="U24" s="52">
        <v>8.9</v>
      </c>
      <c r="V24" s="54" t="s">
        <v>178</v>
      </c>
      <c r="W24" s="53" t="s">
        <v>179</v>
      </c>
      <c r="X24" s="57" t="s">
        <v>180</v>
      </c>
      <c r="Y24" s="57" t="s">
        <v>181</v>
      </c>
      <c r="Z24" s="3" t="s">
        <v>324</v>
      </c>
      <c r="AA24" s="56">
        <v>21</v>
      </c>
      <c r="AB24" s="40">
        <f t="shared" si="0"/>
        <v>7</v>
      </c>
    </row>
    <row r="25" spans="1:28" ht="21" customHeight="1" x14ac:dyDescent="0.25">
      <c r="A25" s="18">
        <v>8</v>
      </c>
      <c r="B25" s="15" t="s">
        <v>46</v>
      </c>
      <c r="C25" s="15" t="s">
        <v>47</v>
      </c>
      <c r="D25" s="15" t="s">
        <v>15</v>
      </c>
      <c r="E25" s="50">
        <v>45081</v>
      </c>
      <c r="F25" s="51">
        <v>8.4600000000000009</v>
      </c>
      <c r="G25" s="52">
        <v>73.8</v>
      </c>
      <c r="H25" s="53" t="s">
        <v>139</v>
      </c>
      <c r="I25" s="53" t="s">
        <v>206</v>
      </c>
      <c r="J25" s="53" t="s">
        <v>207</v>
      </c>
      <c r="K25" s="51">
        <v>8.9</v>
      </c>
      <c r="L25" s="54" t="s">
        <v>48</v>
      </c>
      <c r="M25" s="63" t="s">
        <v>208</v>
      </c>
      <c r="N25" s="63" t="s">
        <v>212</v>
      </c>
      <c r="O25" s="63" t="s">
        <v>199</v>
      </c>
      <c r="P25" s="51">
        <v>9.3000000000000007</v>
      </c>
      <c r="Q25" s="54" t="s">
        <v>49</v>
      </c>
      <c r="R25" s="63" t="s">
        <v>209</v>
      </c>
      <c r="S25" s="63" t="s">
        <v>210</v>
      </c>
      <c r="T25" s="63" t="s">
        <v>211</v>
      </c>
      <c r="U25" s="62" t="s">
        <v>138</v>
      </c>
      <c r="V25" s="54" t="s">
        <v>53</v>
      </c>
      <c r="W25" s="63" t="s">
        <v>213</v>
      </c>
      <c r="X25" s="63" t="s">
        <v>214</v>
      </c>
      <c r="Y25" s="64" t="s">
        <v>215</v>
      </c>
      <c r="Z25" s="3" t="s">
        <v>322</v>
      </c>
      <c r="AA25" s="56">
        <v>14</v>
      </c>
      <c r="AB25" s="40">
        <f t="shared" si="0"/>
        <v>14</v>
      </c>
    </row>
    <row r="26" spans="1:28" ht="32.25" customHeight="1" x14ac:dyDescent="0.25">
      <c r="A26" s="18">
        <v>9</v>
      </c>
      <c r="B26" s="15" t="s">
        <v>59</v>
      </c>
      <c r="C26" s="15" t="s">
        <v>60</v>
      </c>
      <c r="D26" s="15" t="s">
        <v>15</v>
      </c>
      <c r="E26" s="50">
        <v>44773</v>
      </c>
      <c r="F26" s="51">
        <v>9.75</v>
      </c>
      <c r="G26" s="52">
        <v>81</v>
      </c>
      <c r="H26" s="53" t="s">
        <v>251</v>
      </c>
      <c r="I26" s="53" t="s">
        <v>252</v>
      </c>
      <c r="J26" s="53" t="s">
        <v>253</v>
      </c>
      <c r="K26" s="51">
        <v>10.1</v>
      </c>
      <c r="L26" s="54" t="s">
        <v>16</v>
      </c>
      <c r="M26" s="53" t="s">
        <v>254</v>
      </c>
      <c r="N26" s="53" t="s">
        <v>255</v>
      </c>
      <c r="O26" s="53" t="s">
        <v>256</v>
      </c>
      <c r="P26" s="51">
        <v>10.4</v>
      </c>
      <c r="Q26" s="54" t="s">
        <v>61</v>
      </c>
      <c r="R26" s="53" t="s">
        <v>257</v>
      </c>
      <c r="S26" s="53" t="s">
        <v>258</v>
      </c>
      <c r="T26" s="53" t="s">
        <v>253</v>
      </c>
      <c r="U26" s="62" t="s">
        <v>245</v>
      </c>
      <c r="V26" s="54" t="s">
        <v>62</v>
      </c>
      <c r="W26" s="53" t="s">
        <v>259</v>
      </c>
      <c r="X26" s="53" t="s">
        <v>260</v>
      </c>
      <c r="Y26" s="53" t="s">
        <v>261</v>
      </c>
      <c r="Z26" s="3" t="s">
        <v>322</v>
      </c>
      <c r="AA26" s="56">
        <v>19</v>
      </c>
      <c r="AB26" s="40">
        <f t="shared" si="0"/>
        <v>9</v>
      </c>
    </row>
    <row r="27" spans="1:28" ht="24" customHeight="1" x14ac:dyDescent="0.25">
      <c r="A27" s="18">
        <v>10</v>
      </c>
      <c r="B27" s="15" t="s">
        <v>70</v>
      </c>
      <c r="C27" s="15" t="s">
        <v>71</v>
      </c>
      <c r="D27" s="15" t="s">
        <v>15</v>
      </c>
      <c r="E27" s="50">
        <v>44443</v>
      </c>
      <c r="F27" s="51">
        <v>9.5500000000000007</v>
      </c>
      <c r="G27" s="52">
        <v>81.599999999999994</v>
      </c>
      <c r="H27" s="53" t="s">
        <v>279</v>
      </c>
      <c r="I27" s="53" t="s">
        <v>280</v>
      </c>
      <c r="J27" s="53" t="s">
        <v>281</v>
      </c>
      <c r="K27" s="51">
        <v>9.6999999999999993</v>
      </c>
      <c r="L27" s="52" t="s">
        <v>303</v>
      </c>
      <c r="M27" s="53" t="s">
        <v>304</v>
      </c>
      <c r="N27" s="53" t="s">
        <v>291</v>
      </c>
      <c r="O27" s="53" t="s">
        <v>305</v>
      </c>
      <c r="P27" s="51" t="s">
        <v>306</v>
      </c>
      <c r="Q27" s="54" t="s">
        <v>307</v>
      </c>
      <c r="R27" s="53" t="s">
        <v>308</v>
      </c>
      <c r="S27" s="53" t="s">
        <v>298</v>
      </c>
      <c r="T27" s="53" t="s">
        <v>309</v>
      </c>
      <c r="U27" s="54" t="s">
        <v>32</v>
      </c>
      <c r="V27" s="54" t="s">
        <v>72</v>
      </c>
      <c r="W27" s="53" t="s">
        <v>310</v>
      </c>
      <c r="X27" s="53" t="s">
        <v>311</v>
      </c>
      <c r="Y27" s="53" t="s">
        <v>312</v>
      </c>
      <c r="Z27" s="3" t="s">
        <v>324</v>
      </c>
      <c r="AA27" s="56">
        <v>28</v>
      </c>
      <c r="AB27" s="40">
        <f t="shared" si="0"/>
        <v>0</v>
      </c>
    </row>
    <row r="28" spans="1:28" ht="21" customHeight="1" x14ac:dyDescent="0.25">
      <c r="A28" s="18">
        <v>11</v>
      </c>
      <c r="B28" s="15" t="s">
        <v>73</v>
      </c>
      <c r="C28" s="15" t="s">
        <v>74</v>
      </c>
      <c r="D28" s="15" t="s">
        <v>10</v>
      </c>
      <c r="E28" s="50">
        <v>44005</v>
      </c>
      <c r="F28" s="51" t="s">
        <v>75</v>
      </c>
      <c r="G28" s="52" t="s">
        <v>76</v>
      </c>
      <c r="H28" s="53" t="s">
        <v>282</v>
      </c>
      <c r="I28" s="53" t="s">
        <v>283</v>
      </c>
      <c r="J28" s="53" t="s">
        <v>284</v>
      </c>
      <c r="K28" s="51">
        <v>12.8</v>
      </c>
      <c r="L28" s="54" t="s">
        <v>77</v>
      </c>
      <c r="M28" s="53" t="s">
        <v>232</v>
      </c>
      <c r="N28" s="53" t="s">
        <v>285</v>
      </c>
      <c r="O28" s="53" t="s">
        <v>286</v>
      </c>
      <c r="P28" s="51">
        <v>13.4</v>
      </c>
      <c r="Q28" s="54" t="s">
        <v>78</v>
      </c>
      <c r="R28" s="53" t="s">
        <v>287</v>
      </c>
      <c r="S28" s="53" t="s">
        <v>288</v>
      </c>
      <c r="T28" s="53" t="s">
        <v>289</v>
      </c>
      <c r="U28" s="51">
        <v>12.8</v>
      </c>
      <c r="V28" s="54" t="s">
        <v>77</v>
      </c>
      <c r="W28" s="53" t="s">
        <v>290</v>
      </c>
      <c r="X28" s="53" t="s">
        <v>291</v>
      </c>
      <c r="Y28" s="53" t="s">
        <v>292</v>
      </c>
      <c r="Z28" s="5" t="s">
        <v>85</v>
      </c>
      <c r="AA28" s="56">
        <v>17</v>
      </c>
      <c r="AB28" s="40">
        <f t="shared" si="0"/>
        <v>11</v>
      </c>
    </row>
    <row r="29" spans="1:28" ht="14.25" customHeight="1" x14ac:dyDescent="0.25"/>
    <row r="30" spans="1:28" ht="14.25" customHeight="1" x14ac:dyDescent="0.25"/>
    <row r="31" spans="1:28" ht="14.25" customHeight="1" x14ac:dyDescent="0.25"/>
    <row r="32" spans="1:28" ht="14.25" customHeight="1" x14ac:dyDescent="0.25">
      <c r="A32" s="21"/>
      <c r="B32" s="21" t="s">
        <v>353</v>
      </c>
      <c r="H32" s="8"/>
      <c r="I32" s="8"/>
      <c r="J32" s="8"/>
      <c r="M32" s="8"/>
      <c r="N32" s="8"/>
      <c r="O32" s="8"/>
      <c r="W32" s="8"/>
    </row>
    <row r="33" spans="1:23" ht="14.25" customHeight="1" x14ac:dyDescent="0.25">
      <c r="A33" s="10">
        <v>1</v>
      </c>
      <c r="B33" s="19" t="s">
        <v>38</v>
      </c>
      <c r="H33" s="8"/>
      <c r="M33" s="8"/>
      <c r="W33" s="8"/>
    </row>
    <row r="34" spans="1:23" ht="14.25" customHeight="1" x14ac:dyDescent="0.25">
      <c r="A34" s="10">
        <v>2</v>
      </c>
      <c r="B34" s="19" t="s">
        <v>42</v>
      </c>
      <c r="H34" s="8"/>
      <c r="M34" s="8"/>
      <c r="W34" s="8"/>
    </row>
    <row r="35" spans="1:23" ht="14.25" customHeight="1" x14ac:dyDescent="0.25">
      <c r="A35" s="10">
        <v>3</v>
      </c>
      <c r="B35" s="19" t="s">
        <v>51</v>
      </c>
      <c r="H35" s="8"/>
      <c r="M35" s="8"/>
    </row>
    <row r="36" spans="1:23" ht="14.25" customHeight="1" x14ac:dyDescent="0.25">
      <c r="A36" s="10">
        <v>4</v>
      </c>
      <c r="B36" s="19" t="s">
        <v>55</v>
      </c>
    </row>
    <row r="37" spans="1:23" ht="14.25" customHeight="1" x14ac:dyDescent="0.25">
      <c r="A37" s="10">
        <v>5</v>
      </c>
      <c r="B37" s="19" t="s">
        <v>58</v>
      </c>
    </row>
    <row r="38" spans="1:23" ht="14.25" customHeight="1" x14ac:dyDescent="0.25">
      <c r="A38" s="10">
        <v>6</v>
      </c>
      <c r="B38" s="19" t="s">
        <v>64</v>
      </c>
    </row>
    <row r="39" spans="1:23" ht="14.25" customHeight="1" x14ac:dyDescent="0.25">
      <c r="A39" s="10">
        <v>7</v>
      </c>
      <c r="B39" s="19" t="s">
        <v>67</v>
      </c>
    </row>
    <row r="40" spans="1:23" ht="14.25" customHeight="1" x14ac:dyDescent="0.25">
      <c r="A40" s="10">
        <v>8</v>
      </c>
      <c r="B40" s="20" t="s">
        <v>80</v>
      </c>
    </row>
    <row r="41" spans="1:23" ht="14.25" customHeight="1" x14ac:dyDescent="0.25"/>
    <row r="42" spans="1:23" ht="14.25" customHeight="1" x14ac:dyDescent="0.25"/>
    <row r="43" spans="1:23" ht="14.25" customHeight="1" x14ac:dyDescent="0.25">
      <c r="A43" s="21"/>
      <c r="B43" s="21" t="s">
        <v>357</v>
      </c>
    </row>
    <row r="44" spans="1:23" ht="14.25" customHeight="1" x14ac:dyDescent="0.25">
      <c r="A44" s="10">
        <v>1</v>
      </c>
      <c r="B44" s="22" t="s">
        <v>9</v>
      </c>
    </row>
    <row r="45" spans="1:23" ht="14.25" customHeight="1" x14ac:dyDescent="0.25">
      <c r="A45" s="10">
        <v>2</v>
      </c>
      <c r="B45" s="22" t="s">
        <v>14</v>
      </c>
    </row>
    <row r="46" spans="1:23" ht="14.25" customHeight="1" x14ac:dyDescent="0.25">
      <c r="A46" s="10">
        <v>3</v>
      </c>
      <c r="B46" s="22" t="s">
        <v>18</v>
      </c>
    </row>
    <row r="47" spans="1:23" ht="14.25" customHeight="1" x14ac:dyDescent="0.25">
      <c r="A47" s="10">
        <v>4</v>
      </c>
      <c r="B47" s="22" t="s">
        <v>22</v>
      </c>
    </row>
    <row r="48" spans="1:23" ht="14.25" customHeight="1" x14ac:dyDescent="0.25">
      <c r="A48" s="10">
        <v>5</v>
      </c>
      <c r="B48" s="22" t="s">
        <v>26</v>
      </c>
    </row>
    <row r="49" spans="1:2" ht="14.25" customHeight="1" x14ac:dyDescent="0.25">
      <c r="A49" s="10">
        <v>6</v>
      </c>
      <c r="B49" s="22" t="s">
        <v>30</v>
      </c>
    </row>
    <row r="50" spans="1:2" ht="14.25" customHeight="1" x14ac:dyDescent="0.25">
      <c r="A50" s="10">
        <v>7</v>
      </c>
      <c r="B50" s="22" t="s">
        <v>34</v>
      </c>
    </row>
    <row r="51" spans="1:2" ht="14.25" customHeight="1" x14ac:dyDescent="0.25">
      <c r="A51" s="10">
        <v>8</v>
      </c>
      <c r="B51" s="19" t="s">
        <v>47</v>
      </c>
    </row>
    <row r="52" spans="1:2" ht="14.25" customHeight="1" x14ac:dyDescent="0.25">
      <c r="A52" s="10">
        <v>9</v>
      </c>
      <c r="B52" s="19" t="s">
        <v>60</v>
      </c>
    </row>
    <row r="53" spans="1:2" ht="14.25" customHeight="1" x14ac:dyDescent="0.25">
      <c r="A53" s="10">
        <v>10</v>
      </c>
      <c r="B53" s="22" t="s">
        <v>71</v>
      </c>
    </row>
    <row r="54" spans="1:2" ht="14.25" customHeight="1" x14ac:dyDescent="0.25">
      <c r="A54" s="10">
        <v>11</v>
      </c>
      <c r="B54" s="22" t="s">
        <v>74</v>
      </c>
    </row>
    <row r="55" spans="1:2" ht="14.25" customHeight="1" x14ac:dyDescent="0.25"/>
    <row r="56" spans="1:2" ht="14.25" customHeight="1" x14ac:dyDescent="0.25"/>
    <row r="57" spans="1:2" ht="14.25" customHeight="1" x14ac:dyDescent="0.25"/>
    <row r="58" spans="1:2" ht="14.25" customHeight="1" x14ac:dyDescent="0.25"/>
    <row r="59" spans="1:2" ht="14.25" customHeight="1" x14ac:dyDescent="0.25"/>
    <row r="60" spans="1:2" ht="14.25" customHeight="1" x14ac:dyDescent="0.25"/>
    <row r="61" spans="1:2" ht="14.25" customHeight="1" x14ac:dyDescent="0.25"/>
    <row r="62" spans="1:2" ht="14.25" customHeight="1" x14ac:dyDescent="0.25"/>
    <row r="63" spans="1:2" ht="14.25" customHeight="1" x14ac:dyDescent="0.25"/>
    <row r="64" spans="1:2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17">
    <mergeCell ref="AB5:AB7"/>
    <mergeCell ref="A8:AB8"/>
    <mergeCell ref="A17:AB17"/>
    <mergeCell ref="Z5:Z7"/>
    <mergeCell ref="AA5:AA7"/>
    <mergeCell ref="F5:Y5"/>
    <mergeCell ref="A1:AA1"/>
    <mergeCell ref="U6:X6"/>
    <mergeCell ref="K6:N6"/>
    <mergeCell ref="A5:A7"/>
    <mergeCell ref="B5:B7"/>
    <mergeCell ref="C5:C7"/>
    <mergeCell ref="D5:D7"/>
    <mergeCell ref="E5:E7"/>
    <mergeCell ref="F6:J6"/>
    <mergeCell ref="P6:T6"/>
    <mergeCell ref="M2:S2"/>
  </mergeCells>
  <pageMargins left="0.70866141732283472" right="0.70866141732283472" top="0.74803149606299213" bottom="0.74803149606299213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E1" sqref="E1:F1"/>
    </sheetView>
  </sheetViews>
  <sheetFormatPr defaultRowHeight="15" x14ac:dyDescent="0.25"/>
  <cols>
    <col min="1" max="1" width="28.42578125" customWidth="1"/>
    <col min="2" max="2" width="25.5703125" customWidth="1"/>
    <col min="3" max="3" width="15.5703125" customWidth="1"/>
    <col min="4" max="4" width="19.42578125" customWidth="1"/>
    <col min="5" max="5" width="20.5703125" customWidth="1"/>
    <col min="6" max="6" width="14.5703125" customWidth="1"/>
    <col min="7" max="7" width="22.5703125" customWidth="1"/>
    <col min="8" max="8" width="20.140625" customWidth="1"/>
  </cols>
  <sheetData>
    <row r="1" spans="1:9" x14ac:dyDescent="0.25">
      <c r="A1" t="s">
        <v>349</v>
      </c>
    </row>
    <row r="4" spans="1:9" x14ac:dyDescent="0.25">
      <c r="A4" s="11" t="s">
        <v>333</v>
      </c>
      <c r="B4" s="11"/>
      <c r="C4" s="11"/>
      <c r="D4" s="11" t="s">
        <v>347</v>
      </c>
      <c r="E4" s="11"/>
      <c r="F4" s="11"/>
      <c r="G4" s="11" t="s">
        <v>348</v>
      </c>
      <c r="H4" s="11"/>
      <c r="I4" s="12"/>
    </row>
    <row r="5" spans="1:9" x14ac:dyDescent="0.25">
      <c r="A5" s="13" t="s">
        <v>86</v>
      </c>
      <c r="B5" s="13" t="s">
        <v>358</v>
      </c>
      <c r="C5" s="13"/>
      <c r="D5" s="13" t="s">
        <v>86</v>
      </c>
      <c r="E5" s="13" t="s">
        <v>358</v>
      </c>
      <c r="F5" s="13"/>
      <c r="G5" s="13" t="s">
        <v>86</v>
      </c>
      <c r="H5" s="13" t="s">
        <v>358</v>
      </c>
      <c r="I5" s="14"/>
    </row>
    <row r="6" spans="1:9" ht="14.25" customHeight="1" x14ac:dyDescent="0.25">
      <c r="A6" s="9" t="s">
        <v>334</v>
      </c>
      <c r="B6" s="9" t="s">
        <v>341</v>
      </c>
      <c r="C6" s="9"/>
      <c r="D6" s="10" t="s">
        <v>338</v>
      </c>
      <c r="E6" s="10" t="s">
        <v>345</v>
      </c>
      <c r="F6" s="10"/>
      <c r="G6" s="10" t="s">
        <v>339</v>
      </c>
      <c r="H6" s="10" t="s">
        <v>339</v>
      </c>
      <c r="I6" s="10"/>
    </row>
    <row r="7" spans="1:9" x14ac:dyDescent="0.25">
      <c r="A7" s="9" t="s">
        <v>335</v>
      </c>
      <c r="B7" s="9" t="s">
        <v>343</v>
      </c>
      <c r="C7" s="9"/>
      <c r="D7" s="10" t="s">
        <v>337</v>
      </c>
      <c r="E7" s="10" t="s">
        <v>344</v>
      </c>
      <c r="F7" s="10"/>
      <c r="G7" s="10" t="s">
        <v>340</v>
      </c>
      <c r="H7" s="10" t="s">
        <v>346</v>
      </c>
      <c r="I7" s="10"/>
    </row>
    <row r="8" spans="1:9" x14ac:dyDescent="0.25">
      <c r="A8" s="9" t="s">
        <v>336</v>
      </c>
      <c r="B8" s="9" t="s">
        <v>342</v>
      </c>
      <c r="C8" s="9"/>
      <c r="D8" s="10"/>
      <c r="E8" s="10"/>
      <c r="F8" s="10"/>
      <c r="G8" s="10"/>
      <c r="H8" s="10"/>
      <c r="I8" s="10"/>
    </row>
    <row r="9" spans="1:9" x14ac:dyDescent="0.25">
      <c r="A9" s="10"/>
      <c r="B9" s="10"/>
      <c r="C9" s="10"/>
      <c r="D9" s="10"/>
      <c r="E9" s="10"/>
      <c r="F9" s="10"/>
      <c r="G9" s="10"/>
      <c r="H9" s="10"/>
      <c r="I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BBTB</vt:lpstr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herratitis01@gmail.com</cp:lastModifiedBy>
  <dcterms:created xsi:type="dcterms:W3CDTF">2024-11-19T12:47:08Z</dcterms:created>
  <dcterms:modified xsi:type="dcterms:W3CDTF">2025-05-06T05:35:42Z</dcterms:modified>
</cp:coreProperties>
</file>